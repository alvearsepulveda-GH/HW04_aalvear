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e7ea173a9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ning_Quarterly" sheetId="1" r:id="R54994105bf874cb8"/>
    <x:sheet xmlns:r="http://schemas.openxmlformats.org/officeDocument/2006/relationships" name="README" sheetId="2" r:id="Rf30ed18db6cd40df"/>
    <x:sheet xmlns:r="http://schemas.openxmlformats.org/officeDocument/2006/relationships" name="Sources" sheetId="3" r:id="R4e5c3eaee94b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#,##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cfb197f8b42c1" /><Relationship Type="http://schemas.openxmlformats.org/officeDocument/2006/relationships/theme" Target="/xl/theme/theme1.xml" Id="R30b989e9e97e4bbb" /><Relationship Type="http://schemas.openxmlformats.org/officeDocument/2006/relationships/sharedStrings" Target="/xl/sharedStrings.xml" Id="R5bb0edfef7814493" /><Relationship Type="http://schemas.openxmlformats.org/officeDocument/2006/relationships/worksheet" Target="/xl/worksheets/sheet1.xml" Id="R54994105bf874cb8" /><Relationship Type="http://schemas.openxmlformats.org/officeDocument/2006/relationships/worksheet" Target="/xl/worksheets/sheet2.xml" Id="Rf30ed18db6cd40df" /><Relationship Type="http://schemas.openxmlformats.org/officeDocument/2006/relationships/worksheet" Target="/xl/worksheets/sheet3.xml" Id="R4e5c3eaee94b4bc6" /></Relationships>
</file>

<file path=xl/tables/table1.xml><?xml version="1.0" encoding="utf-8"?>
<x:table xmlns:x="http://schemas.openxmlformats.org/spreadsheetml/2006/main" id="1" name="FinningQuarterlyTable" displayName="FinningQuarterlyTable" ref="A1:N49" headerRowCount="1" totalsRowCount="0" totalsRowShown="0">
  <x:tableColumns count="14">
    <x:tableColumn id="1" name="Quarter_End"/>
    <x:tableColumn id="2" name="Year"/>
    <x:tableColumn id="3" name="Quarter"/>
    <x:tableColumn id="4" name="Revenue_CAD_m"/>
    <x:tableColumn id="5" name="Net_Income_CAD_m"/>
    <x:tableColumn id="6" name="EPS_CAD"/>
    <x:tableColumn id="7" name="Total_Assets_CAD_m"/>
    <x:tableColumn id="8" name="Long_Term_Debt_CAD_m"/>
    <x:tableColumn id="9" name="Units"/>
    <x:tableColumn id="10" name="Source_URL"/>
    <x:tableColumn id="11" name="Revenue_QoQ"/>
    <x:tableColumn id="12" name="Revenue_YoY"/>
    <x:tableColumn id="13" name="NetIncome_YoY"/>
    <x:tableColumn id="14" name="Revenue_MA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57fc86952c460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9" hidden="0" customWidth="1"/>
    <x:col min="4" max="4" width="16" hidden="0" customWidth="1"/>
    <x:col min="5" max="5" width="18" hidden="0" customWidth="1"/>
    <x:col min="6" max="6" width="11" hidden="0" customWidth="1"/>
    <x:col min="7" max="7" width="18" hidden="0" customWidth="1"/>
    <x:col min="8" max="8" width="21" hidden="0" customWidth="1"/>
    <x:col min="9" max="9" width="13" hidden="0" customWidth="1"/>
    <x:col min="10" max="10" width="4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0" t="str">
        <x:v>Quarter_End</x:v>
      </x:c>
      <x:c r="B1" s="10" t="str">
        <x:v>Year</x:v>
      </x:c>
      <x:c r="C1" s="10" t="str">
        <x:v>Quarter</x:v>
      </x:c>
      <x:c r="D1" s="10" t="str">
        <x:v>Revenue_CAD_m</x:v>
      </x:c>
      <x:c r="E1" s="10" t="str">
        <x:v>Net_Income_CAD_m</x:v>
      </x:c>
      <x:c r="F1" s="10" t="str">
        <x:v>EPS_CAD</x:v>
      </x:c>
      <x:c r="G1" s="10" t="str">
        <x:v>Total_Assets_CAD_m</x:v>
      </x:c>
      <x:c r="H1" s="10" t="str">
        <x:v>Long_Term_Debt_CAD_m</x:v>
      </x:c>
      <x:c r="I1" s="10" t="str">
        <x:v>Units</x:v>
      </x:c>
      <x:c r="J1" s="10" t="str">
        <x:v>Source_URL</x:v>
      </x:c>
      <x:c r="K1" s="10" t="str">
        <x:v>Revenue_QoQ</x:v>
      </x:c>
      <x:c r="L1" s="10" t="str">
        <x:v>Revenue_YoY</x:v>
      </x:c>
      <x:c r="M1" s="10" t="str">
        <x:v>NetIncome_YoY</x:v>
      </x:c>
      <x:c r="N1" s="10" t="str">
        <x:v>Revenue_MA4</x:v>
      </x:c>
    </x:row>
    <x:row r="2">
      <x:c r="A2" s="14" t="n">
        <x:v>41729</x:v>
      </x:c>
      <x:c r="B2" s="11" t="n">
        <x:v>2014</x:v>
      </x:c>
      <x:c r="C2" s="11" t="str">
        <x:v>Q1</x:v>
      </x:c>
      <x:c r="D2" s="16" t="n">
        <x:v>1676</x:v>
      </x:c>
      <x:c r="E2" s="16" t="n">
        <x:v>68</x:v>
      </x:c>
      <x:c r="F2" s="16" t="n">
        <x:v>0.39</x:v>
      </x:c>
      <x:c r="G2" s="16" t="n">
        <x:v>5353</x:v>
      </x:c>
      <x:c r="H2" s="16" t="n">
        <x:v>1394</x:v>
      </x:c>
      <x:c r="I2" s="11" t="str">
        <x:v>CAD millions</x:v>
      </x:c>
      <x:c r="J2" s="11" t="str">
        <x:v>https://www.finning.com/content/dam/finning/Global/Documents/financial-reports/2015-Annual-Report.pdf</x:v>
      </x:c>
      <x:c r="K2" s="18"/>
      <x:c r="L2" s="18"/>
      <x:c r="M2" s="18"/>
      <x:c r="N2" s="20"/>
    </x:row>
    <x:row r="3">
      <x:c r="A3" s="14" t="n">
        <x:v>41820</x:v>
      </x:c>
      <x:c r="B3" s="11" t="n">
        <x:v>2014</x:v>
      </x:c>
      <x:c r="C3" s="11" t="str">
        <x:v>Q2</x:v>
      </x:c>
      <x:c r="D3" s="16" t="n">
        <x:v>1768</x:v>
      </x:c>
      <x:c r="E3" s="16" t="n">
        <x:v>86</x:v>
      </x:c>
      <x:c r="F3" s="16" t="n">
        <x:v>0.5</x:v>
      </x:c>
      <x:c r="G3" s="16" t="n">
        <x:v>5196</x:v>
      </x:c>
      <x:c r="H3" s="16" t="n">
        <x:v>1374</x:v>
      </x:c>
      <x:c r="I3" s="11" t="str">
        <x:v>CAD millions</x:v>
      </x:c>
      <x:c r="J3" s="11" t="str">
        <x:v>https://www.finning.com/content/dam/finning/Global/Documents/financial-reports/2015-Annual-Report.pdf</x:v>
      </x:c>
      <x:c r="K3" s="18" t="n">
        <x:f>IFERROR(D3/D2-1,"")</x:f>
        <x:v>0.054892601431980825</x:v>
      </x:c>
      <x:c r="L3" s="18"/>
      <x:c r="M3" s="18"/>
      <x:c r="N3" s="20"/>
    </x:row>
    <x:row r="4">
      <x:c r="A4" s="14" t="n">
        <x:v>41912</x:v>
      </x:c>
      <x:c r="B4" s="11" t="n">
        <x:v>2014</x:v>
      </x:c>
      <x:c r="C4" s="11" t="str">
        <x:v>Q3</x:v>
      </x:c>
      <x:c r="D4" s="16" t="n">
        <x:v>1670</x:v>
      </x:c>
      <x:c r="E4" s="16" t="n">
        <x:v>57</x:v>
      </x:c>
      <x:c r="F4" s="16" t="n">
        <x:v>0.33</x:v>
      </x:c>
      <x:c r="G4" s="16" t="n">
        <x:v>5237</x:v>
      </x:c>
      <x:c r="H4" s="16" t="n">
        <x:v>1409</x:v>
      </x:c>
      <x:c r="I4" s="11" t="str">
        <x:v>CAD millions</x:v>
      </x:c>
      <x:c r="J4" s="11" t="str">
        <x:v>https://www.finning.com/content/dam/finning/Global/Documents/financial-reports/2015-Annual-Report.pdf</x:v>
      </x:c>
      <x:c r="K4" s="18" t="n">
        <x:f>IFERROR(D4/D3-1,"")</x:f>
        <x:v>-0.05542986425339369</x:v>
      </x:c>
      <x:c r="L4" s="18"/>
      <x:c r="M4" s="18"/>
      <x:c r="N4" s="20"/>
    </x:row>
    <x:row r="5">
      <x:c r="A5" s="14" t="n">
        <x:v>42004</x:v>
      </x:c>
      <x:c r="B5" s="11" t="n">
        <x:v>2014</x:v>
      </x:c>
      <x:c r="C5" s="11" t="str">
        <x:v>Q4</x:v>
      </x:c>
      <x:c r="D5" s="16" t="n">
        <x:v>1803</x:v>
      </x:c>
      <x:c r="E5" s="16" t="n">
        <x:v>107</x:v>
      </x:c>
      <x:c r="F5" s="16" t="n">
        <x:v>0.62</x:v>
      </x:c>
      <x:c r="G5" s="16" t="n">
        <x:v>5273</x:v>
      </x:c>
      <x:c r="H5" s="16" t="n">
        <x:v>1418</x:v>
      </x:c>
      <x:c r="I5" s="11" t="str">
        <x:v>CAD millions</x:v>
      </x:c>
      <x:c r="J5" s="11" t="str">
        <x:v>https://www.finning.com/content/dam/finning/Global/Documents/financial-reports/2015-Annual-Report.pdf</x:v>
      </x:c>
      <x:c r="K5" s="18" t="n">
        <x:f>IFERROR(D5/D4-1,"")</x:f>
        <x:v>0.07964071856287425</x:v>
      </x:c>
      <x:c r="L5" s="18"/>
      <x:c r="M5" s="18"/>
      <x:c r="N5" s="20"/>
    </x:row>
    <x:row r="6">
      <x:c r="A6" s="14" t="n">
        <x:v>42094</x:v>
      </x:c>
      <x:c r="B6" s="11" t="n">
        <x:v>2015</x:v>
      </x:c>
      <x:c r="C6" s="11" t="str">
        <x:v>Q1</x:v>
      </x:c>
      <x:c r="D6" s="16" t="n">
        <x:v>1519</x:v>
      </x:c>
      <x:c r="E6" s="16" t="n">
        <x:v>53</x:v>
      </x:c>
      <x:c r="F6" s="16" t="n">
        <x:v>0.31</x:v>
      </x:c>
      <x:c r="G6" s="16" t="n">
        <x:v>5354</x:v>
      </x:c>
      <x:c r="H6" s="16" t="n">
        <x:v>1477</x:v>
      </x:c>
      <x:c r="I6" s="11" t="str">
        <x:v>CAD millions</x:v>
      </x:c>
      <x:c r="J6" s="11" t="str">
        <x:v>https://www.finning.com/content/dam/finning/Global/Documents/financial-reports/2015-Annual-Report.pdf</x:v>
      </x:c>
      <x:c r="K6" s="18" t="n">
        <x:f>IFERROR(D6/D5-1,"")</x:f>
        <x:v>-0.15751525235718244</x:v>
      </x:c>
      <x:c r="L6" s="18" t="n">
        <x:f>IFERROR(D6/D2-1,"")</x:f>
        <x:v>-0.09367541766109788</x:v>
      </x:c>
      <x:c r="M6" s="18" t="n">
        <x:f>IFERROR(E6/E2-1,"")</x:f>
        <x:v>-0.22058823529411764</x:v>
      </x:c>
      <x:c r="N6" s="20" t="n">
        <x:f>AVERAGE(D3:D6)</x:f>
        <x:v>1690</x:v>
      </x:c>
    </x:row>
    <x:row r="7">
      <x:c r="A7" s="14" t="n">
        <x:v>42185</x:v>
      </x:c>
      <x:c r="B7" s="11" t="n">
        <x:v>2015</x:v>
      </x:c>
      <x:c r="C7" s="11" t="str">
        <x:v>Q2</x:v>
      </x:c>
      <x:c r="D7" s="16" t="n">
        <x:v>1656</x:v>
      </x:c>
      <x:c r="E7" s="16" t="n">
        <x:v>61</x:v>
      </x:c>
      <x:c r="F7" s="16" t="n">
        <x:v>0.36</x:v>
      </x:c>
      <x:c r="G7" s="16" t="n">
        <x:v>5324</x:v>
      </x:c>
      <x:c r="H7" s="16" t="n">
        <x:v>1482</x:v>
      </x:c>
      <x:c r="I7" s="11" t="str">
        <x:v>CAD millions</x:v>
      </x:c>
      <x:c r="J7" s="11" t="str">
        <x:v>https://www.finning.com/content/dam/finning/Global/Documents/financial-reports/2015-Annual-Report.pdf</x:v>
      </x:c>
      <x:c r="K7" s="18" t="n">
        <x:f>IFERROR(D7/D6-1,"")</x:f>
        <x:v>0.09019091507570764</x:v>
      </x:c>
      <x:c r="L7" s="18" t="n">
        <x:f>IFERROR(D7/D3-1,"")</x:f>
        <x:v>-0.06334841628959276</x:v>
      </x:c>
      <x:c r="M7" s="18" t="n">
        <x:f>IFERROR(E7/E3-1,"")</x:f>
        <x:v>-0.2906976744186046</x:v>
      </x:c>
      <x:c r="N7" s="20" t="n">
        <x:f>AVERAGE(D4:D7)</x:f>
        <x:v>1662</x:v>
      </x:c>
    </x:row>
    <x:row r="8">
      <x:c r="A8" s="14" t="n">
        <x:v>42277</x:v>
      </x:c>
      <x:c r="B8" s="11" t="n">
        <x:v>2015</x:v>
      </x:c>
      <x:c r="C8" s="11" t="str">
        <x:v>Q3</x:v>
      </x:c>
      <x:c r="D8" s="16" t="n">
        <x:v>1498</x:v>
      </x:c>
      <x:c r="E8" s="16" t="n">
        <x:v>33</x:v>
      </x:c>
      <x:c r="F8" s="16" t="n">
        <x:v>0.19</x:v>
      </x:c>
      <x:c r="G8" s="16" t="n">
        <x:v>5520</x:v>
      </x:c>
      <x:c r="H8" s="16" t="n">
        <x:v>1553</x:v>
      </x:c>
      <x:c r="I8" s="11" t="str">
        <x:v>CAD millions</x:v>
      </x:c>
      <x:c r="J8" s="11" t="str">
        <x:v>https://www.finning.com/content/dam/finning/Global/Documents/financial-reports/2015-Annual-Report.pdf</x:v>
      </x:c>
      <x:c r="K8" s="18" t="n">
        <x:f>IFERROR(D8/D7-1,"")</x:f>
        <x:v>-0.09541062801932365</x:v>
      </x:c>
      <x:c r="L8" s="18" t="n">
        <x:f>IFERROR(D8/D4-1,"")</x:f>
        <x:v>-0.10299401197604785</x:v>
      </x:c>
      <x:c r="M8" s="18" t="n">
        <x:f>IFERROR(E8/E4-1,"")</x:f>
        <x:v>-0.42105263157894735</x:v>
      </x:c>
      <x:c r="N8" s="20" t="n">
        <x:f>AVERAGE(D5:D8)</x:f>
        <x:v>1619</x:v>
      </x:c>
    </x:row>
    <x:row r="9">
      <x:c r="A9" s="14" t="n">
        <x:v>42369</x:v>
      </x:c>
      <x:c r="B9" s="11" t="n">
        <x:v>2015</x:v>
      </x:c>
      <x:c r="C9" s="11" t="str">
        <x:v>Q4</x:v>
      </x:c>
      <x:c r="D9" s="16" t="n">
        <x:v>1518</x:v>
      </x:c>
      <x:c r="E9" s="16" t="n">
        <x:v>-309</x:v>
      </x:c>
      <x:c r="F9" s="16" t="n">
        <x:v>-1.82</x:v>
      </x:c>
      <x:c r="G9" s="16" t="n">
        <x:v>5108</x:v>
      </x:c>
      <x:c r="H9" s="16" t="n">
        <x:v>1548</x:v>
      </x:c>
      <x:c r="I9" s="11" t="str">
        <x:v>CAD millions</x:v>
      </x:c>
      <x:c r="J9" s="11" t="str">
        <x:v>https://www.finning.com/content/dam/finning/Global/Documents/financial-reports/2015-Annual-Report.pdf</x:v>
      </x:c>
      <x:c r="K9" s="18" t="n">
        <x:f>IFERROR(D9/D8-1,"")</x:f>
        <x:v>0.013351134846461887</x:v>
      </x:c>
      <x:c r="L9" s="18" t="n">
        <x:f>IFERROR(D9/D5-1,"")</x:f>
        <x:v>-0.1580698835274542</x:v>
      </x:c>
      <x:c r="M9" s="18" t="n">
        <x:f>IFERROR(E9/E5-1,"")</x:f>
        <x:v>-3.8878504672897196</x:v>
      </x:c>
      <x:c r="N9" s="20" t="n">
        <x:f>AVERAGE(D6:D9)</x:f>
        <x:v>1547.75</x:v>
      </x:c>
    </x:row>
    <x:row r="10">
      <x:c r="A10" s="14" t="n">
        <x:v>42460</x:v>
      </x:c>
      <x:c r="B10" s="11" t="n">
        <x:v>2016</x:v>
      </x:c>
      <x:c r="C10" s="11" t="str">
        <x:v>Q1</x:v>
      </x:c>
      <x:c r="D10" s="16" t="n">
        <x:v>1494</x:v>
      </x:c>
      <x:c r="E10" s="16" t="n">
        <x:v>15</x:v>
      </x:c>
      <x:c r="F10" s="16" t="n">
        <x:v>0.09</x:v>
      </x:c>
      <x:c r="G10" s="16" t="n">
        <x:v>4870</x:v>
      </x:c>
      <x:c r="H10" s="16" t="n">
        <x:v>1492</x:v>
      </x:c>
      <x:c r="I10" s="11" t="str">
        <x:v>CAD millions</x:v>
      </x:c>
      <x:c r="J10" s="11" t="str">
        <x:v>https://www.finning.com/content/dam/finning/Global/Documents/financial-reports/2017-Financial-Report.pdf</x:v>
      </x:c>
      <x:c r="K10" s="18" t="n">
        <x:f>IFERROR(D10/D9-1,"")</x:f>
        <x:v>-0.015810276679841917</x:v>
      </x:c>
      <x:c r="L10" s="18" t="n">
        <x:f>IFERROR(D10/D6-1,"")</x:f>
        <x:v>-0.016458196181698526</x:v>
      </x:c>
      <x:c r="M10" s="18" t="n">
        <x:f>IFERROR(E10/E6-1,"")</x:f>
        <x:v>-0.7169811320754718</x:v>
      </x:c>
      <x:c r="N10" s="20" t="n">
        <x:f>AVERAGE(D7:D10)</x:f>
        <x:v>1541.5</x:v>
      </x:c>
    </x:row>
    <x:row r="11">
      <x:c r="A11" s="14" t="n">
        <x:v>42551</x:v>
      </x:c>
      <x:c r="B11" s="11" t="n">
        <x:v>2016</x:v>
      </x:c>
      <x:c r="C11" s="11" t="str">
        <x:v>Q2</x:v>
      </x:c>
      <x:c r="D11" s="16" t="n">
        <x:v>1310</x:v>
      </x:c>
      <x:c r="E11" s="16" t="n">
        <x:v>5</x:v>
      </x:c>
      <x:c r="F11" s="16" t="n">
        <x:v>0.03</x:v>
      </x:c>
      <x:c r="G11" s="16" t="n">
        <x:v>4754</x:v>
      </x:c>
      <x:c r="H11" s="16" t="n">
        <x:v>1470</x:v>
      </x:c>
      <x:c r="I11" s="11" t="str">
        <x:v>CAD millions</x:v>
      </x:c>
      <x:c r="J11" s="11" t="str">
        <x:v>https://www.finning.com/content/dam/finning/Global/Documents/financial-reports/2017-Financial-Report.pdf</x:v>
      </x:c>
      <x:c r="K11" s="18" t="n">
        <x:f>IFERROR(D11/D10-1,"")</x:f>
        <x:v>-0.12315930388219543</x:v>
      </x:c>
      <x:c r="L11" s="18" t="n">
        <x:f>IFERROR(D11/D7-1,"")</x:f>
        <x:v>-0.2089371980676329</x:v>
      </x:c>
      <x:c r="M11" s="18" t="n">
        <x:f>IFERROR(E11/E7-1,"")</x:f>
        <x:v>-0.9180327868852459</x:v>
      </x:c>
      <x:c r="N11" s="20" t="n">
        <x:f>AVERAGE(D8:D11)</x:f>
        <x:v>1455</x:v>
      </x:c>
    </x:row>
    <x:row r="12">
      <x:c r="A12" s="14" t="n">
        <x:v>42643</x:v>
      </x:c>
      <x:c r="B12" s="11" t="n">
        <x:v>2016</x:v>
      </x:c>
      <x:c r="C12" s="11" t="str">
        <x:v>Q3</x:v>
      </x:c>
      <x:c r="D12" s="16" t="n">
        <x:v>1333</x:v>
      </x:c>
      <x:c r="E12" s="16" t="n">
        <x:v>36</x:v>
      </x:c>
      <x:c r="F12" s="16" t="n">
        <x:v>0.22</x:v>
      </x:c>
      <x:c r="G12" s="16" t="n">
        <x:v>4886</x:v>
      </x:c>
      <x:c r="H12" s="16" t="n">
        <x:v>1474</x:v>
      </x:c>
      <x:c r="I12" s="11" t="str">
        <x:v>CAD millions</x:v>
      </x:c>
      <x:c r="J12" s="11" t="str">
        <x:v>https://www.finning.com/content/dam/finning/Global/Documents/financial-reports/2017-Financial-Report.pdf</x:v>
      </x:c>
      <x:c r="K12" s="18" t="n">
        <x:f>IFERROR(D12/D11-1,"")</x:f>
        <x:v>0.017557251908396854</x:v>
      </x:c>
      <x:c r="L12" s="18" t="n">
        <x:f>IFERROR(D12/D8-1,"")</x:f>
        <x:v>-0.11014686248331107</x:v>
      </x:c>
      <x:c r="M12" s="18" t="n">
        <x:f>IFERROR(E12/E8-1,"")</x:f>
        <x:v>0.09090909090909083</x:v>
      </x:c>
      <x:c r="N12" s="20" t="n">
        <x:f>AVERAGE(D9:D12)</x:f>
        <x:v>1413.75</x:v>
      </x:c>
    </x:row>
    <x:row r="13">
      <x:c r="A13" s="14" t="n">
        <x:v>42735</x:v>
      </x:c>
      <x:c r="B13" s="11" t="n">
        <x:v>2016</x:v>
      </x:c>
      <x:c r="C13" s="11" t="str">
        <x:v>Q4</x:v>
      </x:c>
      <x:c r="D13" s="16" t="n">
        <x:v>1491</x:v>
      </x:c>
      <x:c r="E13" s="16" t="n">
        <x:v>9</x:v>
      </x:c>
      <x:c r="F13" s="16" t="n">
        <x:v>0.05</x:v>
      </x:c>
      <x:c r="G13" s="16" t="n">
        <x:v>4910</x:v>
      </x:c>
      <x:c r="H13" s="16" t="n">
        <x:v>1487</x:v>
      </x:c>
      <x:c r="I13" s="11" t="str">
        <x:v>CAD millions</x:v>
      </x:c>
      <x:c r="J13" s="11" t="str">
        <x:v>https://www.finning.com/content/dam/finning/Global/Documents/financial-reports/2017-Financial-Report.pdf</x:v>
      </x:c>
      <x:c r="K13" s="18" t="n">
        <x:f>IFERROR(D13/D12-1,"")</x:f>
        <x:v>0.11852963240810199</x:v>
      </x:c>
      <x:c r="L13" s="18" t="n">
        <x:f>IFERROR(D13/D9-1,"")</x:f>
        <x:v>-0.017786561264822143</x:v>
      </x:c>
      <x:c r="M13" s="18" t="n">
        <x:f>IFERROR(E13/E9-1,"")</x:f>
        <x:v>-1.029126213592233</x:v>
      </x:c>
      <x:c r="N13" s="20" t="n">
        <x:f>AVERAGE(D10:D13)</x:f>
        <x:v>1407</x:v>
      </x:c>
    </x:row>
    <x:row r="14">
      <x:c r="A14" s="14" t="n">
        <x:v>42825</x:v>
      </x:c>
      <x:c r="B14" s="11" t="n">
        <x:v>2017</x:v>
      </x:c>
      <x:c r="C14" s="11" t="str">
        <x:v>Q1</x:v>
      </x:c>
      <x:c r="D14" s="16" t="n">
        <x:v>1402</x:v>
      </x:c>
      <x:c r="E14" s="16" t="n">
        <x:v>47</x:v>
      </x:c>
      <x:c r="F14" s="16" t="n">
        <x:v>0.28</x:v>
      </x:c>
      <x:c r="G14" s="16" t="n">
        <x:v>4901</x:v>
      </x:c>
      <x:c r="H14" s="16" t="n">
        <x:v>1481</x:v>
      </x:c>
      <x:c r="I14" s="11" t="str">
        <x:v>CAD millions</x:v>
      </x:c>
      <x:c r="J14" s="11" t="str">
        <x:v>https://www.finning.com/content/dam/finning/Global/Documents/financial-reports/2017-Financial-Report.pdf</x:v>
      </x:c>
      <x:c r="K14" s="18" t="n">
        <x:f>IFERROR(D14/D13-1,"")</x:f>
        <x:v>-0.059691482226693515</x:v>
      </x:c>
      <x:c r="L14" s="18" t="n">
        <x:f>IFERROR(D14/D10-1,"")</x:f>
        <x:v>-0.06157965194109771</x:v>
      </x:c>
      <x:c r="M14" s="18" t="n">
        <x:f>IFERROR(E14/E10-1,"")</x:f>
        <x:v>2.1333333333333333</x:v>
      </x:c>
      <x:c r="N14" s="20" t="n">
        <x:f>AVERAGE(D11:D14)</x:f>
        <x:v>1384</x:v>
      </x:c>
    </x:row>
    <x:row r="15">
      <x:c r="A15" s="14" t="n">
        <x:v>42916</x:v>
      </x:c>
      <x:c r="B15" s="11" t="n">
        <x:v>2017</x:v>
      </x:c>
      <x:c r="C15" s="11" t="str">
        <x:v>Q2</x:v>
      </x:c>
      <x:c r="D15" s="16" t="n">
        <x:v>1581</x:v>
      </x:c>
      <x:c r="E15" s="16" t="n">
        <x:v>56</x:v>
      </x:c>
      <x:c r="F15" s="16" t="n">
        <x:v>0.34</x:v>
      </x:c>
      <x:c r="G15" s="16" t="n">
        <x:v>5029</x:v>
      </x:c>
      <x:c r="H15" s="16" t="n">
        <x:v>1466</x:v>
      </x:c>
      <x:c r="I15" s="11" t="str">
        <x:v>CAD millions</x:v>
      </x:c>
      <x:c r="J15" s="11" t="str">
        <x:v>https://www.finning.com/content/dam/finning/Global/Documents/financial-reports/2017-Financial-Report.pdf</x:v>
      </x:c>
      <x:c r="K15" s="18" t="n">
        <x:f>IFERROR(D15/D14-1,"")</x:f>
        <x:v>0.12767475035663334</x:v>
      </x:c>
      <x:c r="L15" s="18" t="n">
        <x:f>IFERROR(D15/D11-1,"")</x:f>
        <x:v>0.20687022900763363</x:v>
      </x:c>
      <x:c r="M15" s="18" t="n">
        <x:f>IFERROR(E15/E11-1,"")</x:f>
        <x:v>10.2</x:v>
      </x:c>
      <x:c r="N15" s="20" t="n">
        <x:f>AVERAGE(D12:D15)</x:f>
        <x:v>1451.75</x:v>
      </x:c>
    </x:row>
    <x:row r="16">
      <x:c r="A16" s="14" t="n">
        <x:v>43008</x:v>
      </x:c>
      <x:c r="B16" s="11" t="n">
        <x:v>2017</x:v>
      </x:c>
      <x:c r="C16" s="11" t="str">
        <x:v>Q3</x:v>
      </x:c>
      <x:c r="D16" s="16" t="n">
        <x:v>1547</x:v>
      </x:c>
      <x:c r="E16" s="16" t="n">
        <x:v>52</x:v>
      </x:c>
      <x:c r="F16" s="16" t="n">
        <x:v>0.31</x:v>
      </x:c>
      <x:c r="G16" s="16" t="n">
        <x:v>5140</x:v>
      </x:c>
      <x:c r="H16" s="16" t="n">
        <x:v>1641</x:v>
      </x:c>
      <x:c r="I16" s="11" t="str">
        <x:v>CAD millions</x:v>
      </x:c>
      <x:c r="J16" s="11" t="str">
        <x:v>https://www.finning.com/content/dam/finning/Global/Documents/financial-reports/2017-Financial-Report.pdf</x:v>
      </x:c>
      <x:c r="K16" s="18" t="n">
        <x:f>IFERROR(D16/D15-1,"")</x:f>
        <x:v>-0.021505376344086002</x:v>
      </x:c>
      <x:c r="L16" s="18" t="n">
        <x:f>IFERROR(D16/D12-1,"")</x:f>
        <x:v>0.16054013503375852</x:v>
      </x:c>
      <x:c r="M16" s="18" t="n">
        <x:f>IFERROR(E16/E12-1,"")</x:f>
        <x:v>0.4444444444444444</x:v>
      </x:c>
      <x:c r="N16" s="20" t="n">
        <x:f>AVERAGE(D13:D16)</x:f>
        <x:v>1505.25</x:v>
      </x:c>
    </x:row>
    <x:row r="17">
      <x:c r="A17" s="14" t="n">
        <x:v>43100</x:v>
      </x:c>
      <x:c r="B17" s="11" t="n">
        <x:v>2017</x:v>
      </x:c>
      <x:c r="C17" s="11" t="str">
        <x:v>Q4</x:v>
      </x:c>
      <x:c r="D17" s="16" t="n">
        <x:v>1735</x:v>
      </x:c>
      <x:c r="E17" s="16" t="n">
        <x:v>66</x:v>
      </x:c>
      <x:c r="F17" s="16" t="n">
        <x:v>0.39</x:v>
      </x:c>
      <x:c r="G17" s="16" t="n">
        <x:v>5092</x:v>
      </x:c>
      <x:c r="H17" s="16" t="n">
        <x:v>1296</x:v>
      </x:c>
      <x:c r="I17" s="11" t="str">
        <x:v>CAD millions</x:v>
      </x:c>
      <x:c r="J17" s="11" t="str">
        <x:v>https://www.finning.com/content/dam/finning/Global/Documents/financial-reports/2017-Financial-Report.pdf</x:v>
      </x:c>
      <x:c r="K17" s="18" t="n">
        <x:f>IFERROR(D17/D16-1,"")</x:f>
        <x:v>0.12152553329023918</x:v>
      </x:c>
      <x:c r="L17" s="18" t="n">
        <x:f>IFERROR(D17/D13-1,"")</x:f>
        <x:v>0.1636485580147553</x:v>
      </x:c>
      <x:c r="M17" s="18" t="n">
        <x:f>IFERROR(E17/E13-1,"")</x:f>
        <x:v>6.333333333333333</x:v>
      </x:c>
      <x:c r="N17" s="20" t="n">
        <x:f>AVERAGE(D14:D17)</x:f>
        <x:v>1566.25</x:v>
      </x:c>
    </x:row>
    <x:row r="18">
      <x:c r="A18" s="14" t="n">
        <x:v>43190</x:v>
      </x:c>
      <x:c r="B18" s="11" t="n">
        <x:v>2018</x:v>
      </x:c>
      <x:c r="C18" s="11" t="str">
        <x:v>Q1</x:v>
      </x:c>
      <x:c r="D18" s="16" t="n">
        <x:v>1670</x:v>
      </x:c>
      <x:c r="E18" s="16" t="n">
        <x:v>71</x:v>
      </x:c>
      <x:c r="F18" s="16" t="n">
        <x:v>0.42</x:v>
      </x:c>
      <x:c r="G18" s="16" t="n">
        <x:v>5254</x:v>
      </x:c>
      <x:c r="H18" s="16" t="n">
        <x:v>1322</x:v>
      </x:c>
      <x:c r="I18" s="11" t="str">
        <x:v>CAD millions</x:v>
      </x:c>
      <x:c r="J18" s="11" t="str">
        <x:v>https://www.finning.com/content/dam/finning/Global/Documents/financial-reports/2018-Financial-Report.pdf</x:v>
      </x:c>
      <x:c r="K18" s="18" t="n">
        <x:f>IFERROR(D18/D17-1,"")</x:f>
        <x:v>-0.03746397694524495</x:v>
      </x:c>
      <x:c r="L18" s="18" t="n">
        <x:f>IFERROR(D18/D14-1,"")</x:f>
        <x:v>0.1911554921540657</x:v>
      </x:c>
      <x:c r="M18" s="18" t="n">
        <x:f>IFERROR(E18/E14-1,"")</x:f>
        <x:v>0.5106382978723405</x:v>
      </x:c>
      <x:c r="N18" s="20" t="n">
        <x:f>AVERAGE(D15:D18)</x:f>
        <x:v>1633.25</x:v>
      </x:c>
    </x:row>
    <x:row r="19">
      <x:c r="A19" s="14" t="n">
        <x:v>43281</x:v>
      </x:c>
      <x:c r="B19" s="11" t="n">
        <x:v>2018</x:v>
      </x:c>
      <x:c r="C19" s="11" t="str">
        <x:v>Q2</x:v>
      </x:c>
      <x:c r="D19" s="16" t="n">
        <x:v>1729</x:v>
      </x:c>
      <x:c r="E19" s="16" t="n">
        <x:v>81</x:v>
      </x:c>
      <x:c r="F19" s="16" t="n">
        <x:v>0.48</x:v>
      </x:c>
      <x:c r="G19" s="16" t="n">
        <x:v>5457</x:v>
      </x:c>
      <x:c r="H19" s="16" t="n">
        <x:v>1330</x:v>
      </x:c>
      <x:c r="I19" s="11" t="str">
        <x:v>CAD millions</x:v>
      </x:c>
      <x:c r="J19" s="11" t="str">
        <x:v>https://www.finning.com/content/dam/finning/Global/Documents/financial-reports/2018-Financial-Report.pdf</x:v>
      </x:c>
      <x:c r="K19" s="18" t="n">
        <x:f>IFERROR(D19/D18-1,"")</x:f>
        <x:v>0.035329341317365204</x:v>
      </x:c>
      <x:c r="L19" s="18" t="n">
        <x:f>IFERROR(D19/D15-1,"")</x:f>
        <x:v>0.09361163820366847</x:v>
      </x:c>
      <x:c r="M19" s="18" t="n">
        <x:f>IFERROR(E19/E15-1,"")</x:f>
        <x:v>0.4464285714285714</x:v>
      </x:c>
      <x:c r="N19" s="20" t="n">
        <x:f>AVERAGE(D16:D19)</x:f>
        <x:v>1670.25</x:v>
      </x:c>
    </x:row>
    <x:row r="20">
      <x:c r="A20" s="14" t="n">
        <x:v>43373</x:v>
      </x:c>
      <x:c r="B20" s="11" t="n">
        <x:v>2018</x:v>
      </x:c>
      <x:c r="C20" s="11" t="str">
        <x:v>Q3</x:v>
      </x:c>
      <x:c r="D20" s="16" t="n">
        <x:v>1755</x:v>
      </x:c>
      <x:c r="E20" s="16" t="n">
        <x:v>25</x:v>
      </x:c>
      <x:c r="F20" s="16" t="n">
        <x:v>0.15</x:v>
      </x:c>
      <x:c r="G20" s="16" t="n">
        <x:v>5413</x:v>
      </x:c>
      <x:c r="H20" s="16" t="n">
        <x:v>1315</x:v>
      </x:c>
      <x:c r="I20" s="11" t="str">
        <x:v>CAD millions</x:v>
      </x:c>
      <x:c r="J20" s="11" t="str">
        <x:v>https://www.finning.com/content/dam/finning/Global/Documents/financial-reports/2018-Financial-Report.pdf</x:v>
      </x:c>
      <x:c r="K20" s="18" t="n">
        <x:f>IFERROR(D20/D19-1,"")</x:f>
        <x:v>0.015037593984962516</x:v>
      </x:c>
      <x:c r="L20" s="18" t="n">
        <x:f>IFERROR(D20/D16-1,"")</x:f>
        <x:v>0.134453781512605</x:v>
      </x:c>
      <x:c r="M20" s="18" t="n">
        <x:f>IFERROR(E20/E16-1,"")</x:f>
        <x:v>-0.5192307692307692</x:v>
      </x:c>
      <x:c r="N20" s="20" t="n">
        <x:f>AVERAGE(D17:D20)</x:f>
        <x:v>1722.25</x:v>
      </x:c>
    </x:row>
    <x:row r="21">
      <x:c r="A21" s="14" t="n">
        <x:v>43465</x:v>
      </x:c>
      <x:c r="B21" s="11" t="n">
        <x:v>2018</x:v>
      </x:c>
      <x:c r="C21" s="11" t="str">
        <x:v>Q4</x:v>
      </x:c>
      <x:c r="D21" s="16" t="n">
        <x:v>1842</x:v>
      </x:c>
      <x:c r="E21" s="16" t="n">
        <x:v>55</x:v>
      </x:c>
      <x:c r="F21" s="16" t="n">
        <x:v>0.33</x:v>
      </x:c>
      <x:c r="G21" s="16" t="n">
        <x:v>5696</x:v>
      </x:c>
      <x:c r="H21" s="16" t="n">
        <x:v>1354</x:v>
      </x:c>
      <x:c r="I21" s="11" t="str">
        <x:v>CAD millions</x:v>
      </x:c>
      <x:c r="J21" s="11" t="str">
        <x:v>https://www.finning.com/content/dam/finning/Global/Documents/financial-reports/2018-Financial-Report.pdf</x:v>
      </x:c>
      <x:c r="K21" s="18" t="n">
        <x:f>IFERROR(D21/D20-1,"")</x:f>
        <x:v>0.04957264957264962</x:v>
      </x:c>
      <x:c r="L21" s="18" t="n">
        <x:f>IFERROR(D21/D17-1,"")</x:f>
        <x:v>0.06167146974063398</x:v>
      </x:c>
      <x:c r="M21" s="18" t="n">
        <x:f>IFERROR(E21/E17-1,"")</x:f>
        <x:v>-0.16666666666666663</x:v>
      </x:c>
      <x:c r="N21" s="20" t="n">
        <x:f>AVERAGE(D18:D21)</x:f>
        <x:v>1749</x:v>
      </x:c>
    </x:row>
    <x:row r="22">
      <x:c r="A22" s="14" t="n">
        <x:v>43555</x:v>
      </x:c>
      <x:c r="B22" s="11" t="n">
        <x:v>2019</x:v>
      </x:c>
      <x:c r="C22" s="11" t="str">
        <x:v>Q1</x:v>
      </x:c>
      <x:c r="D22" s="16" t="n">
        <x:v>1810</x:v>
      </x:c>
      <x:c r="E22" s="16" t="n">
        <x:v>28</x:v>
      </x:c>
      <x:c r="F22" s="16" t="n">
        <x:v>0.17</x:v>
      </x:c>
      <x:c r="G22" s="16"/>
      <x:c r="H22" s="16"/>
      <x:c r="I22" s="11" t="str">
        <x:v>CAD millions</x:v>
      </x:c>
      <x:c r="J22" s="11" t="str">
        <x:v>https://www.finning.com/content/dam/finning/Global/Documents/financial-reports/2019-Q1-combined-interim-report.pdf</x:v>
      </x:c>
      <x:c r="K22" s="18" t="n">
        <x:f>IFERROR(D22/D21-1,"")</x:f>
        <x:v>-0.017372421281216077</x:v>
      </x:c>
      <x:c r="L22" s="18" t="n">
        <x:f>IFERROR(D22/D18-1,"")</x:f>
        <x:v>0.08383233532934131</x:v>
      </x:c>
      <x:c r="M22" s="18" t="n">
        <x:f>IFERROR(E22/E18-1,"")</x:f>
        <x:v>-0.6056338028169015</x:v>
      </x:c>
      <x:c r="N22" s="20" t="n">
        <x:f>AVERAGE(D19:D22)</x:f>
        <x:v>1784</x:v>
      </x:c>
    </x:row>
    <x:row r="23">
      <x:c r="A23" s="14" t="n">
        <x:v>43646</x:v>
      </x:c>
      <x:c r="B23" s="11" t="n">
        <x:v>2019</x:v>
      </x:c>
      <x:c r="C23" s="11" t="str">
        <x:v>Q2</x:v>
      </x:c>
      <x:c r="D23" s="16" t="n">
        <x:v>2137</x:v>
      </x:c>
      <x:c r="E23" s="16" t="n">
        <x:v>88</x:v>
      </x:c>
      <x:c r="F23" s="16" t="n">
        <x:v>0.54</x:v>
      </x:c>
      <x:c r="G23" s="16"/>
      <x:c r="H23" s="16"/>
      <x:c r="I23" s="11" t="str">
        <x:v>CAD millions</x:v>
      </x:c>
      <x:c r="J23" s="11" t="str">
        <x:v>https://www.finning.com/content/dam/finning/Global/Documents/financial-reports/Q2-2019-combined-interim-report.pdf</x:v>
      </x:c>
      <x:c r="K23" s="18" t="n">
        <x:f>IFERROR(D23/D22-1,"")</x:f>
        <x:v>0.18066298342541431</x:v>
      </x:c>
      <x:c r="L23" s="18" t="n">
        <x:f>IFERROR(D23/D19-1,"")</x:f>
        <x:v>0.2359745517640255</x:v>
      </x:c>
      <x:c r="M23" s="18" t="n">
        <x:f>IFERROR(E23/E19-1,"")</x:f>
        <x:v>0.08641975308641969</x:v>
      </x:c>
      <x:c r="N23" s="20" t="n">
        <x:f>AVERAGE(D20:D23)</x:f>
        <x:v>1886</x:v>
      </x:c>
    </x:row>
    <x:row r="24">
      <x:c r="A24" s="14" t="n">
        <x:v>43738</x:v>
      </x:c>
      <x:c r="B24" s="11" t="n">
        <x:v>2019</x:v>
      </x:c>
      <x:c r="C24" s="11" t="str">
        <x:v>Q3</x:v>
      </x:c>
      <x:c r="D24" s="16" t="n">
        <x:v>1959</x:v>
      </x:c>
      <x:c r="E24" s="16" t="n">
        <x:v>76</x:v>
      </x:c>
      <x:c r="F24" s="16" t="n">
        <x:v>0.46</x:v>
      </x:c>
      <x:c r="G24" s="16"/>
      <x:c r="H24" s="16"/>
      <x:c r="I24" s="11" t="str">
        <x:v>CAD millions</x:v>
      </x:c>
      <x:c r="J24" s="11" t="str">
        <x:v>https://www.finning.com/content/dam/finning/Global/Documents/financial-reports/Q3-2019-combined-interim-report.pdf</x:v>
      </x:c>
      <x:c r="K24" s="18" t="n">
        <x:f>IFERROR(D24/D23-1,"")</x:f>
        <x:v>-0.08329433785680862</x:v>
      </x:c>
      <x:c r="L24" s="18" t="n">
        <x:f>IFERROR(D24/D20-1,"")</x:f>
        <x:v>0.11623931623931627</x:v>
      </x:c>
      <x:c r="M24" s="18" t="n">
        <x:f>IFERROR(E24/E20-1,"")</x:f>
        <x:v>2.04</x:v>
      </x:c>
      <x:c r="N24" s="20" t="n">
        <x:f>AVERAGE(D21:D24)</x:f>
        <x:v>1937</x:v>
      </x:c>
    </x:row>
    <x:row r="25">
      <x:c r="A25" s="14" t="n">
        <x:v>43830</x:v>
      </x:c>
      <x:c r="B25" s="11" t="n">
        <x:v>2019</x:v>
      </x:c>
      <x:c r="C25" s="11" t="str">
        <x:v>Q4</x:v>
      </x:c>
      <x:c r="D25" s="16" t="n">
        <x:v>1911</x:v>
      </x:c>
      <x:c r="E25" s="16" t="n">
        <x:v>50</x:v>
      </x:c>
      <x:c r="F25" s="16" t="n">
        <x:v>0.31</x:v>
      </x:c>
      <x:c r="G25" s="16"/>
      <x:c r="H25" s="16"/>
      <x:c r="I25" s="11" t="str">
        <x:v>CAD millions</x:v>
      </x:c>
      <x:c r="J25" s="11" t="str">
        <x:v>https://www.finning.com/content/dam/finning/Global/Documents/financial-reports/Q4-2019-combined-annual-report_Final.pdf</x:v>
      </x:c>
      <x:c r="K25" s="18" t="n">
        <x:f>IFERROR(D25/D24-1,"")</x:f>
        <x:v>-0.024502297090352232</x:v>
      </x:c>
      <x:c r="L25" s="18" t="n">
        <x:f>IFERROR(D25/D21-1,"")</x:f>
        <x:v>0.037459283387622166</x:v>
      </x:c>
      <x:c r="M25" s="18" t="n">
        <x:f>IFERROR(E25/E21-1,"")</x:f>
        <x:v>-0.09090909090909094</x:v>
      </x:c>
      <x:c r="N25" s="20" t="n">
        <x:f>AVERAGE(D22:D25)</x:f>
        <x:v>1954.25</x:v>
      </x:c>
    </x:row>
    <x:row r="26">
      <x:c r="A26" s="14" t="n">
        <x:v>43921</x:v>
      </x:c>
      <x:c r="B26" s="11" t="n">
        <x:v>2020</x:v>
      </x:c>
      <x:c r="C26" s="11" t="str">
        <x:v>Q1</x:v>
      </x:c>
      <x:c r="D26" s="16" t="n">
        <x:v>1558</x:v>
      </x:c>
      <x:c r="E26" s="16" t="n">
        <x:v>54</x:v>
      </x:c>
      <x:c r="F26" s="16" t="n">
        <x:v>0.33</x:v>
      </x:c>
      <x:c r="G26" s="16" t="n">
        <x:v>6255</x:v>
      </x:c>
      <x:c r="H26" s="16" t="n">
        <x:v>1581</x:v>
      </x:c>
      <x:c r="I26" s="11" t="str">
        <x:v>CAD millions</x:v>
      </x:c>
      <x:c r="J26" s="11" t="str">
        <x:v>https://www.finning.com/content/dam/finning/Shared/ir-events-attachments/2021-Financial-report%20%281%29.pdf</x:v>
      </x:c>
      <x:c r="K26" s="18" t="n">
        <x:f>IFERROR(D26/D25-1,"")</x:f>
        <x:v>-0.18472004186289903</x:v>
      </x:c>
      <x:c r="L26" s="18" t="n">
        <x:f>IFERROR(D26/D22-1,"")</x:f>
        <x:v>-0.13922651933701657</x:v>
      </x:c>
      <x:c r="M26" s="18" t="n">
        <x:f>IFERROR(E26/E22-1,"")</x:f>
        <x:v>0.9285714285714286</x:v>
      </x:c>
      <x:c r="N26" s="20" t="n">
        <x:f>AVERAGE(D23:D26)</x:f>
        <x:v>1891.25</x:v>
      </x:c>
    </x:row>
    <x:row r="27">
      <x:c r="A27" s="14" t="n">
        <x:v>44012</x:v>
      </x:c>
      <x:c r="B27" s="11" t="n">
        <x:v>2020</x:v>
      </x:c>
      <x:c r="C27" s="11" t="str">
        <x:v>Q2</x:v>
      </x:c>
      <x:c r="D27" s="16" t="n">
        <x:v>1419</x:v>
      </x:c>
      <x:c r="E27" s="16" t="n">
        <x:v>18</x:v>
      </x:c>
      <x:c r="F27" s="16" t="n">
        <x:v>0.12</x:v>
      </x:c>
      <x:c r="G27" s="16" t="n">
        <x:v>5716</x:v>
      </x:c>
      <x:c r="H27" s="16" t="n">
        <x:v>1548</x:v>
      </x:c>
      <x:c r="I27" s="11" t="str">
        <x:v>CAD millions</x:v>
      </x:c>
      <x:c r="J27" s="11" t="str">
        <x:v>https://www.finning.com/content/dam/finning/Shared/ir-events-attachments/2021-Financial-report%20%281%29.pdf</x:v>
      </x:c>
      <x:c r="K27" s="18" t="n">
        <x:f>IFERROR(D27/D26-1,"")</x:f>
        <x:v>-0.08921694480102693</x:v>
      </x:c>
      <x:c r="L27" s="18" t="n">
        <x:f>IFERROR(D27/D23-1,"")</x:f>
        <x:v>-0.3359850257370145</x:v>
      </x:c>
      <x:c r="M27" s="18" t="n">
        <x:f>IFERROR(E27/E23-1,"")</x:f>
        <x:v>-0.7954545454545454</x:v>
      </x:c>
      <x:c r="N27" s="20" t="n">
        <x:f>AVERAGE(D24:D27)</x:f>
        <x:v>1711.75</x:v>
      </x:c>
    </x:row>
    <x:row r="28">
      <x:c r="A28" s="14" t="n">
        <x:v>44104</x:v>
      </x:c>
      <x:c r="B28" s="11" t="n">
        <x:v>2020</x:v>
      </x:c>
      <x:c r="C28" s="11" t="str">
        <x:v>Q3</x:v>
      </x:c>
      <x:c r="D28" s="16" t="n">
        <x:v>1553</x:v>
      </x:c>
      <x:c r="E28" s="16" t="n">
        <x:v>88</x:v>
      </x:c>
      <x:c r="F28" s="16" t="n">
        <x:v>0.54</x:v>
      </x:c>
      <x:c r="G28" s="16" t="n">
        <x:v>5535</x:v>
      </x:c>
      <x:c r="H28" s="16" t="n">
        <x:v>1336</x:v>
      </x:c>
      <x:c r="I28" s="11" t="str">
        <x:v>CAD millions</x:v>
      </x:c>
      <x:c r="J28" s="11" t="str">
        <x:v>https://www.finning.com/content/dam/finning/Shared/ir-events-attachments/2021-Financial-report%20%281%29.pdf</x:v>
      </x:c>
      <x:c r="K28" s="18" t="n">
        <x:f>IFERROR(D28/D27-1,"")</x:f>
        <x:v>0.09443269908386198</x:v>
      </x:c>
      <x:c r="L28" s="18" t="n">
        <x:f>IFERROR(D28/D24-1,"")</x:f>
        <x:v>-0.20724859622256253</x:v>
      </x:c>
      <x:c r="M28" s="18" t="n">
        <x:f>IFERROR(E28/E24-1,"")</x:f>
        <x:v>0.1578947368421053</x:v>
      </x:c>
      <x:c r="N28" s="20" t="n">
        <x:f>AVERAGE(D25:D28)</x:f>
        <x:v>1610.25</x:v>
      </x:c>
    </x:row>
    <x:row r="29">
      <x:c r="A29" s="14" t="n">
        <x:v>44196</x:v>
      </x:c>
      <x:c r="B29" s="11" t="n">
        <x:v>2020</x:v>
      </x:c>
      <x:c r="C29" s="11" t="str">
        <x:v>Q4</x:v>
      </x:c>
      <x:c r="D29" s="16" t="n">
        <x:v>1666</x:v>
      </x:c>
      <x:c r="E29" s="16" t="n">
        <x:v>72</x:v>
      </x:c>
      <x:c r="F29" s="16" t="n">
        <x:v>0.45</x:v>
      </x:c>
      <x:c r="G29" s="16" t="n">
        <x:v>5458</x:v>
      </x:c>
      <x:c r="H29" s="16" t="n">
        <x:v>1308</x:v>
      </x:c>
      <x:c r="I29" s="11" t="str">
        <x:v>CAD millions</x:v>
      </x:c>
      <x:c r="J29" s="11" t="str">
        <x:v>https://www.finning.com/content/dam/finning/Shared/ir-events-attachments/2021-Financial-report%20%281%29.pdf</x:v>
      </x:c>
      <x:c r="K29" s="18" t="n">
        <x:f>IFERROR(D29/D28-1,"")</x:f>
        <x:v>0.0727623953638119</x:v>
      </x:c>
      <x:c r="L29" s="18" t="n">
        <x:f>IFERROR(D29/D25-1,"")</x:f>
        <x:v>-0.1282051282051282</x:v>
      </x:c>
      <x:c r="M29" s="18" t="n">
        <x:f>IFERROR(E29/E25-1,"")</x:f>
        <x:v>0.43999999999999995</x:v>
      </x:c>
      <x:c r="N29" s="20" t="n">
        <x:f>AVERAGE(D26:D29)</x:f>
        <x:v>1549</x:v>
      </x:c>
    </x:row>
    <x:row r="30">
      <x:c r="A30" s="14" t="n">
        <x:v>44286</x:v>
      </x:c>
      <x:c r="B30" s="11" t="n">
        <x:v>2021</x:v>
      </x:c>
      <x:c r="C30" s="11" t="str">
        <x:v>Q1</x:v>
      </x:c>
      <x:c r="D30" s="16" t="n">
        <x:v>1596</x:v>
      </x:c>
      <x:c r="E30" s="16" t="n">
        <x:v>70</x:v>
      </x:c>
      <x:c r="F30" s="16" t="n">
        <x:v>0.43</x:v>
      </x:c>
      <x:c r="G30" s="16" t="n">
        <x:v>5524</x:v>
      </x:c>
      <x:c r="H30" s="16" t="n">
        <x:v>1299</x:v>
      </x:c>
      <x:c r="I30" s="11" t="str">
        <x:v>CAD millions</x:v>
      </x:c>
      <x:c r="J30" s="11" t="str">
        <x:v>https://www.finning.com/content/dam/finning/Shared/ir-events-attachments/2021-Financial-report%20%281%29.pdf</x:v>
      </x:c>
      <x:c r="K30" s="18" t="n">
        <x:f>IFERROR(D30/D29-1,"")</x:f>
        <x:v>-0.04201680672268904</x:v>
      </x:c>
      <x:c r="L30" s="18" t="n">
        <x:f>IFERROR(D30/D26-1,"")</x:f>
        <x:v>0.024390243902439046</x:v>
      </x:c>
      <x:c r="M30" s="18" t="n">
        <x:f>IFERROR(E30/E26-1,"")</x:f>
        <x:v>0.2962962962962963</x:v>
      </x:c>
      <x:c r="N30" s="20" t="n">
        <x:f>AVERAGE(D27:D30)</x:f>
        <x:v>1558.5</x:v>
      </x:c>
    </x:row>
    <x:row r="31">
      <x:c r="A31" s="14" t="n">
        <x:v>44377</x:v>
      </x:c>
      <x:c r="B31" s="11" t="n">
        <x:v>2021</x:v>
      </x:c>
      <x:c r="C31" s="11" t="str">
        <x:v>Q2</x:v>
      </x:c>
      <x:c r="D31" s="16" t="n">
        <x:v>1845</x:v>
      </x:c>
      <x:c r="E31" s="16" t="n">
        <x:v>91</x:v>
      </x:c>
      <x:c r="F31" s="16" t="n">
        <x:v>0.56</x:v>
      </x:c>
      <x:c r="G31" s="16" t="n">
        <x:v>5615</x:v>
      </x:c>
      <x:c r="H31" s="16" t="n">
        <x:v>1289</x:v>
      </x:c>
      <x:c r="I31" s="11" t="str">
        <x:v>CAD millions</x:v>
      </x:c>
      <x:c r="J31" s="11" t="str">
        <x:v>https://www.finning.com/content/dam/finning/Shared/ir-events-attachments/2021-Financial-report%20%281%29.pdf</x:v>
      </x:c>
      <x:c r="K31" s="18" t="n">
        <x:f>IFERROR(D31/D30-1,"")</x:f>
        <x:v>0.15601503759398505</x:v>
      </x:c>
      <x:c r="L31" s="18" t="n">
        <x:f>IFERROR(D31/D27-1,"")</x:f>
        <x:v>0.3002114164904863</x:v>
      </x:c>
      <x:c r="M31" s="18" t="n">
        <x:f>IFERROR(E31/E27-1,"")</x:f>
        <x:v>4.055555555555555</x:v>
      </x:c>
      <x:c r="N31" s="20" t="n">
        <x:f>AVERAGE(D28:D31)</x:f>
        <x:v>1665</x:v>
      </x:c>
    </x:row>
    <x:row r="32">
      <x:c r="A32" s="14" t="n">
        <x:v>44469</x:v>
      </x:c>
      <x:c r="B32" s="11" t="n">
        <x:v>2021</x:v>
      </x:c>
      <x:c r="C32" s="11" t="str">
        <x:v>Q3</x:v>
      </x:c>
      <x:c r="D32" s="16" t="n">
        <x:v>1904</x:v>
      </x:c>
      <x:c r="E32" s="16" t="n">
        <x:v>99</x:v>
      </x:c>
      <x:c r="F32" s="16" t="n">
        <x:v>0.61</x:v>
      </x:c>
      <x:c r="G32" s="16" t="n">
        <x:v>5936</x:v>
      </x:c>
      <x:c r="H32" s="16" t="n">
        <x:v>1114</x:v>
      </x:c>
      <x:c r="I32" s="11" t="str">
        <x:v>CAD millions</x:v>
      </x:c>
      <x:c r="J32" s="11" t="str">
        <x:v>https://www.finning.com/content/dam/finning/Shared/ir-events-attachments/2021-Financial-report%20%281%29.pdf</x:v>
      </x:c>
      <x:c r="K32" s="18" t="n">
        <x:f>IFERROR(D32/D31-1,"")</x:f>
        <x:v>0.03197831978319776</x:v>
      </x:c>
      <x:c r="L32" s="18" t="n">
        <x:f>IFERROR(D32/D28-1,"")</x:f>
        <x:v>0.22601416613007075</x:v>
      </x:c>
      <x:c r="M32" s="18" t="n">
        <x:f>IFERROR(E32/E28-1,"")</x:f>
        <x:v>0.125</x:v>
      </x:c>
      <x:c r="N32" s="20" t="n">
        <x:f>AVERAGE(D29:D32)</x:f>
        <x:v>1752.75</x:v>
      </x:c>
    </x:row>
    <x:row r="33">
      <x:c r="A33" s="14" t="n">
        <x:v>44561</x:v>
      </x:c>
      <x:c r="B33" s="11" t="n">
        <x:v>2021</x:v>
      </x:c>
      <x:c r="C33" s="11" t="str">
        <x:v>Q4</x:v>
      </x:c>
      <x:c r="D33" s="16" t="n">
        <x:v>1949</x:v>
      </x:c>
      <x:c r="E33" s="16" t="n">
        <x:v>104</x:v>
      </x:c>
      <x:c r="F33" s="16" t="n">
        <x:v>0.66</x:v>
      </x:c>
      <x:c r="G33" s="16" t="n">
        <x:v>5971</x:v>
      </x:c>
      <x:c r="H33" s="16" t="n">
        <x:v>1111</x:v>
      </x:c>
      <x:c r="I33" s="11" t="str">
        <x:v>CAD millions</x:v>
      </x:c>
      <x:c r="J33" s="11" t="str">
        <x:v>https://www.finning.com/content/dam/finning/Shared/ir-events-attachments/2021-Financial-report%20%281%29.pdf</x:v>
      </x:c>
      <x:c r="K33" s="18" t="n">
        <x:f>IFERROR(D33/D32-1,"")</x:f>
        <x:v>0.02363445378151252</x:v>
      </x:c>
      <x:c r="L33" s="18" t="n">
        <x:f>IFERROR(D33/D29-1,"")</x:f>
        <x:v>0.16986794717887155</x:v>
      </x:c>
      <x:c r="M33" s="18" t="n">
        <x:f>IFERROR(E33/E29-1,"")</x:f>
        <x:v>0.4444444444444444</x:v>
      </x:c>
      <x:c r="N33" s="20" t="n">
        <x:f>AVERAGE(D30:D33)</x:f>
        <x:v>1823.5</x:v>
      </x:c>
    </x:row>
    <x:row r="34">
      <x:c r="A34" s="14" t="n">
        <x:v>44651</x:v>
      </x:c>
      <x:c r="B34" s="11" t="n">
        <x:v>2022</x:v>
      </x:c>
      <x:c r="C34" s="11" t="str">
        <x:v>Q1</x:v>
      </x:c>
      <x:c r="D34" s="16" t="n">
        <x:v>1953</x:v>
      </x:c>
      <x:c r="E34" s="16" t="n">
        <x:v>92</x:v>
      </x:c>
      <x:c r="F34" s="16" t="n">
        <x:v>0.59</x:v>
      </x:c>
      <x:c r="G34" s="16" t="n">
        <x:v>6402</x:v>
      </x:c>
      <x:c r="H34" s="16" t="n">
        <x:v>972</x:v>
      </x:c>
      <x:c r="I34" s="11" t="str">
        <x:v>CAD millions</x:v>
      </x:c>
      <x:c r="J34" s="11" t="str">
        <x:v>https://www.finning.com/content/dam/finning/Global/Documents/financial-reports/q4-financial-report-2023.pdf</x:v>
      </x:c>
      <x:c r="K34" s="18" t="n">
        <x:f>IFERROR(D34/D33-1,"")</x:f>
        <x:v>0.0020523345305285545</x:v>
      </x:c>
      <x:c r="L34" s="18" t="n">
        <x:f>IFERROR(D34/D30-1,"")</x:f>
        <x:v>0.2236842105263157</x:v>
      </x:c>
      <x:c r="M34" s="18" t="n">
        <x:f>IFERROR(E34/E30-1,"")</x:f>
        <x:v>0.3142857142857143</x:v>
      </x:c>
      <x:c r="N34" s="20" t="n">
        <x:f>AVERAGE(D31:D34)</x:f>
        <x:v>1912.75</x:v>
      </x:c>
    </x:row>
    <x:row r="35">
      <x:c r="A35" s="14" t="n">
        <x:v>44742</x:v>
      </x:c>
      <x:c r="B35" s="11" t="n">
        <x:v>2022</x:v>
      </x:c>
      <x:c r="C35" s="11" t="str">
        <x:v>Q2</x:v>
      </x:c>
      <x:c r="D35" s="16" t="n">
        <x:v>2289</x:v>
      </x:c>
      <x:c r="E35" s="16" t="n">
        <x:v>126</x:v>
      </x:c>
      <x:c r="F35" s="16" t="n">
        <x:v>0.8</x:v>
      </x:c>
      <x:c r="G35" s="16" t="n">
        <x:v>6470</x:v>
      </x:c>
      <x:c r="H35" s="16" t="n">
        <x:v>917</x:v>
      </x:c>
      <x:c r="I35" s="11" t="str">
        <x:v>CAD millions</x:v>
      </x:c>
      <x:c r="J35" s="11" t="str">
        <x:v>https://www.finning.com/content/dam/finning/Global/Documents/financial-reports/q4-financial-report-2023.pdf</x:v>
      </x:c>
      <x:c r="K35" s="18" t="n">
        <x:f>IFERROR(D35/D34-1,"")</x:f>
        <x:v>0.17204301075268824</x:v>
      </x:c>
      <x:c r="L35" s="18" t="n">
        <x:f>IFERROR(D35/D31-1,"")</x:f>
        <x:v>0.2406504065040651</x:v>
      </x:c>
      <x:c r="M35" s="18" t="n">
        <x:f>IFERROR(E35/E31-1,"")</x:f>
        <x:v>0.3846153846153846</x:v>
      </x:c>
      <x:c r="N35" s="20" t="n">
        <x:f>AVERAGE(D32:D35)</x:f>
        <x:v>2023.75</x:v>
      </x:c>
    </x:row>
    <x:row r="36">
      <x:c r="A36" s="14" t="n">
        <x:v>44834</x:v>
      </x:c>
      <x:c r="B36" s="11" t="n">
        <x:v>2022</x:v>
      </x:c>
      <x:c r="C36" s="11" t="str">
        <x:v>Q3</x:v>
      </x:c>
      <x:c r="D36" s="16" t="n">
        <x:v>2384</x:v>
      </x:c>
      <x:c r="E36" s="16" t="n">
        <x:v>149</x:v>
      </x:c>
      <x:c r="F36" s="16" t="n">
        <x:v>0.97</x:v>
      </x:c>
      <x:c r="G36" s="16" t="n">
        <x:v>7024</x:v>
      </x:c>
      <x:c r="H36" s="16" t="n">
        <x:v>942</x:v>
      </x:c>
      <x:c r="I36" s="11" t="str">
        <x:v>CAD millions</x:v>
      </x:c>
      <x:c r="J36" s="11" t="str">
        <x:v>https://www.finning.com/content/dam/finning/Global/Documents/financial-reports/q4-financial-report-2023.pdf</x:v>
      </x:c>
      <x:c r="K36" s="18" t="n">
        <x:f>IFERROR(D36/D35-1,"")</x:f>
        <x:v>0.0415028396679773</x:v>
      </x:c>
      <x:c r="L36" s="18" t="n">
        <x:f>IFERROR(D36/D32-1,"")</x:f>
        <x:v>0.25210084033613445</x:v>
      </x:c>
      <x:c r="M36" s="18" t="n">
        <x:f>IFERROR(E36/E32-1,"")</x:f>
        <x:v>0.505050505050505</x:v>
      </x:c>
      <x:c r="N36" s="20" t="n">
        <x:f>AVERAGE(D33:D36)</x:f>
        <x:v>2143.75</x:v>
      </x:c>
    </x:row>
    <x:row r="37">
      <x:c r="A37" s="14" t="n">
        <x:v>44926</x:v>
      </x:c>
      <x:c r="B37" s="11" t="n">
        <x:v>2022</x:v>
      </x:c>
      <x:c r="C37" s="11" t="str">
        <x:v>Q4</x:v>
      </x:c>
      <x:c r="D37" s="16" t="n">
        <x:v>2653</x:v>
      </x:c>
      <x:c r="E37" s="16" t="n">
        <x:v>136</x:v>
      </x:c>
      <x:c r="F37" s="16" t="n">
        <x:v>0.89</x:v>
      </x:c>
      <x:c r="G37" s="16" t="n">
        <x:v>7269</x:v>
      </x:c>
      <x:c r="H37" s="16" t="n">
        <x:v>929</x:v>
      </x:c>
      <x:c r="I37" s="11" t="str">
        <x:v>CAD millions</x:v>
      </x:c>
      <x:c r="J37" s="11" t="str">
        <x:v>https://www.finning.com/content/dam/finning/Global/Documents/financial-reports/q4-financial-report-2023.pdf</x:v>
      </x:c>
      <x:c r="K37" s="18" t="n">
        <x:f>IFERROR(D37/D36-1,"")</x:f>
        <x:v>0.11283557046979875</x:v>
      </x:c>
      <x:c r="L37" s="18" t="n">
        <x:f>IFERROR(D37/D33-1,"")</x:f>
        <x:v>0.36121087737301183</x:v>
      </x:c>
      <x:c r="M37" s="18" t="n">
        <x:f>IFERROR(E37/E33-1,"")</x:f>
        <x:v>0.3076923076923077</x:v>
      </x:c>
      <x:c r="N37" s="20" t="n">
        <x:f>AVERAGE(D34:D37)</x:f>
        <x:v>2319.75</x:v>
      </x:c>
    </x:row>
    <x:row r="38">
      <x:c r="A38" s="14" t="n">
        <x:v>45016</x:v>
      </x:c>
      <x:c r="B38" s="11" t="n">
        <x:v>2023</x:v>
      </x:c>
      <x:c r="C38" s="11" t="str">
        <x:v>Q1</x:v>
      </x:c>
      <x:c r="D38" s="16" t="n">
        <x:v>2380</x:v>
      </x:c>
      <x:c r="E38" s="16" t="n">
        <x:v>134</x:v>
      </x:c>
      <x:c r="F38" s="16" t="n">
        <x:v>0.89</x:v>
      </x:c>
      <x:c r="G38" s="16" t="n">
        <x:v>7512</x:v>
      </x:c>
      <x:c r="H38" s="16" t="n">
        <x:v>928</x:v>
      </x:c>
      <x:c r="I38" s="11" t="str">
        <x:v>CAD millions</x:v>
      </x:c>
      <x:c r="J38" s="11" t="str">
        <x:v>https://www.finning.com/content/dam/finning/Global/Documents/financial-reports/q4-financial-report-2023.pdf</x:v>
      </x:c>
      <x:c r="K38" s="18" t="n">
        <x:f>IFERROR(D38/D37-1,"")</x:f>
        <x:v>-0.1029023746701847</x:v>
      </x:c>
      <x:c r="L38" s="18" t="n">
        <x:f>IFERROR(D38/D34-1,"")</x:f>
        <x:v>0.21863799283154117</x:v>
      </x:c>
      <x:c r="M38" s="18" t="n">
        <x:f>IFERROR(E38/E34-1,"")</x:f>
        <x:v>0.4565217391304348</x:v>
      </x:c>
      <x:c r="N38" s="20" t="n">
        <x:f>AVERAGE(D35:D38)</x:f>
        <x:v>2426.5</x:v>
      </x:c>
    </x:row>
    <x:row r="39">
      <x:c r="A39" s="14" t="n">
        <x:v>45107</x:v>
      </x:c>
      <x:c r="B39" s="11" t="n">
        <x:v>2023</x:v>
      </x:c>
      <x:c r="C39" s="11" t="str">
        <x:v>Q2</x:v>
      </x:c>
      <x:c r="D39" s="16" t="n">
        <x:v>2779</x:v>
      </x:c>
      <x:c r="E39" s="16" t="n">
        <x:v>148</x:v>
      </x:c>
      <x:c r="F39" s="16" t="n">
        <x:v>1</x:v>
      </x:c>
      <x:c r="G39" s="16" t="n">
        <x:v>7508</x:v>
      </x:c>
      <x:c r="H39" s="16" t="n">
        <x:v>1148</x:v>
      </x:c>
      <x:c r="I39" s="11" t="str">
        <x:v>CAD millions</x:v>
      </x:c>
      <x:c r="J39" s="11" t="str">
        <x:v>https://www.finning.com/content/dam/finning/Global/Documents/financial-reports/q4-financial-report-2023.pdf</x:v>
      </x:c>
      <x:c r="K39" s="18" t="n">
        <x:f>IFERROR(D39/D38-1,"")</x:f>
        <x:v>0.16764705882352948</x:v>
      </x:c>
      <x:c r="L39" s="18" t="n">
        <x:f>IFERROR(D39/D35-1,"")</x:f>
        <x:v>0.21406727828746175</x:v>
      </x:c>
      <x:c r="M39" s="18" t="n">
        <x:f>IFERROR(E39/E35-1,"")</x:f>
        <x:v>0.17460317460317465</x:v>
      </x:c>
      <x:c r="N39" s="20" t="n">
        <x:f>AVERAGE(D36:D39)</x:f>
        <x:v>2549</x:v>
      </x:c>
    </x:row>
    <x:row r="40">
      <x:c r="A40" s="14" t="n">
        <x:v>45199</x:v>
      </x:c>
      <x:c r="B40" s="11" t="n">
        <x:v>2023</x:v>
      </x:c>
      <x:c r="C40" s="11" t="str">
        <x:v>Q3</x:v>
      </x:c>
      <x:c r="D40" s="16" t="n">
        <x:v>2704</x:v>
      </x:c>
      <x:c r="E40" s="16" t="n">
        <x:v>156</x:v>
      </x:c>
      <x:c r="F40" s="16" t="n">
        <x:v>1.07</x:v>
      </x:c>
      <x:c r="G40" s="16" t="n">
        <x:v>7738</x:v>
      </x:c>
      <x:c r="H40" s="16" t="n">
        <x:v>1158</x:v>
      </x:c>
      <x:c r="I40" s="11" t="str">
        <x:v>CAD millions</x:v>
      </x:c>
      <x:c r="J40" s="11" t="str">
        <x:v>https://www.finning.com/content/dam/finning/Global/Documents/financial-reports/q4-financial-report-2023.pdf</x:v>
      </x:c>
      <x:c r="K40" s="18" t="n">
        <x:f>IFERROR(D40/D39-1,"")</x:f>
        <x:v>-0.026988125224901016</x:v>
      </x:c>
      <x:c r="L40" s="18" t="n">
        <x:f>IFERROR(D40/D36-1,"")</x:f>
        <x:v>0.13422818791946312</x:v>
      </x:c>
      <x:c r="M40" s="18" t="n">
        <x:f>IFERROR(E40/E36-1,"")</x:f>
        <x:v>0.046979865771812124</x:v>
      </x:c>
      <x:c r="N40" s="20" t="n">
        <x:f>AVERAGE(D37:D40)</x:f>
        <x:v>2629</x:v>
      </x:c>
    </x:row>
    <x:row r="41">
      <x:c r="A41" s="14" t="n">
        <x:v>45291</x:v>
      </x:c>
      <x:c r="B41" s="11" t="n">
        <x:v>2023</x:v>
      </x:c>
      <x:c r="C41" s="11" t="str">
        <x:v>Q4</x:v>
      </x:c>
      <x:c r="D41" s="16" t="n">
        <x:v>2664</x:v>
      </x:c>
      <x:c r="E41" s="16" t="n">
        <x:v>85</x:v>
      </x:c>
      <x:c r="F41" s="16" t="n">
        <x:v>0.59</x:v>
      </x:c>
      <x:c r="G41" s="16" t="n">
        <x:v>7557</x:v>
      </x:c>
      <x:c r="H41" s="16" t="n">
        <x:v>1148</x:v>
      </x:c>
      <x:c r="I41" s="11" t="str">
        <x:v>CAD millions</x:v>
      </x:c>
      <x:c r="J41" s="11" t="str">
        <x:v>https://www.finning.com/content/dam/finning/Global/Documents/financial-reports/q4-financial-report-2023.pdf</x:v>
      </x:c>
      <x:c r="K41" s="18" t="n">
        <x:f>IFERROR(D41/D40-1,"")</x:f>
        <x:v>-0.014792899408283988</x:v>
      </x:c>
      <x:c r="L41" s="18" t="n">
        <x:f>IFERROR(D41/D37-1,"")</x:f>
        <x:v>0.004146249528835355</x:v>
      </x:c>
      <x:c r="M41" s="18" t="n">
        <x:f>IFERROR(E41/E37-1,"")</x:f>
        <x:v>-0.375</x:v>
      </x:c>
      <x:c r="N41" s="20" t="n">
        <x:f>AVERAGE(D38:D41)</x:f>
        <x:v>2631.75</x:v>
      </x:c>
    </x:row>
    <x:row r="42">
      <x:c r="A42" s="14" t="n">
        <x:v>45382</x:v>
      </x:c>
      <x:c r="B42" s="11" t="n">
        <x:v>2024</x:v>
      </x:c>
      <x:c r="C42" s="11" t="str">
        <x:v>Q1</x:v>
      </x:c>
      <x:c r="D42" s="16" t="n">
        <x:v>2584</x:v>
      </x:c>
      <x:c r="E42" s="16" t="n">
        <x:v>121</x:v>
      </x:c>
      <x:c r="F42" s="16" t="n">
        <x:v>0.84</x:v>
      </x:c>
      <x:c r="G42" s="16" t="n">
        <x:v>8059</x:v>
      </x:c>
      <x:c r="H42" s="16" t="n">
        <x:v>1447</x:v>
      </x:c>
      <x:c r="I42" s="11" t="str">
        <x:v>CAD millions</x:v>
      </x:c>
      <x:c r="J42" s="11" t="str">
        <x:v>https://www.finning.com/content/dam/finning/Shared/ir-events-attachments/2024-annual-combined-report.pdf</x:v>
      </x:c>
      <x:c r="K42" s="18" t="n">
        <x:f>IFERROR(D42/D41-1,"")</x:f>
        <x:v>-0.03003003003003002</x:v>
      </x:c>
      <x:c r="L42" s="18" t="n">
        <x:f>IFERROR(D42/D38-1,"")</x:f>
        <x:v>0.08571428571428563</x:v>
      </x:c>
      <x:c r="M42" s="18" t="n">
        <x:f>IFERROR(E42/E38-1,"")</x:f>
        <x:v>-0.09701492537313428</x:v>
      </x:c>
      <x:c r="N42" s="20" t="n">
        <x:f>AVERAGE(D39:D42)</x:f>
        <x:v>2682.75</x:v>
      </x:c>
    </x:row>
    <x:row r="43">
      <x:c r="A43" s="14" t="n">
        <x:v>45473</x:v>
      </x:c>
      <x:c r="B43" s="11" t="n">
        <x:v>2024</x:v>
      </x:c>
      <x:c r="C43" s="11" t="str">
        <x:v>Q2</x:v>
      </x:c>
      <x:c r="D43" s="16" t="n">
        <x:v>2920</x:v>
      </x:c>
      <x:c r="E43" s="16" t="n">
        <x:v>144</x:v>
      </x:c>
      <x:c r="F43" s="16" t="n">
        <x:v>1.02</x:v>
      </x:c>
      <x:c r="G43" s="16" t="n">
        <x:v>8033</x:v>
      </x:c>
      <x:c r="H43" s="16" t="n">
        <x:v>1378</x:v>
      </x:c>
      <x:c r="I43" s="11" t="str">
        <x:v>CAD millions</x:v>
      </x:c>
      <x:c r="J43" s="11" t="str">
        <x:v>https://www.finning.com/content/dam/finning/Shared/ir-events-attachments/2024-annual-combined-report.pdf</x:v>
      </x:c>
      <x:c r="K43" s="18" t="n">
        <x:f>IFERROR(D43/D42-1,"")</x:f>
        <x:v>0.13003095975232193</x:v>
      </x:c>
      <x:c r="L43" s="18" t="n">
        <x:f>IFERROR(D43/D39-1,"")</x:f>
        <x:v>0.05073767542281393</x:v>
      </x:c>
      <x:c r="M43" s="18" t="n">
        <x:f>IFERROR(E43/E39-1,"")</x:f>
        <x:v>-0.027027027027026973</x:v>
      </x:c>
      <x:c r="N43" s="20" t="n">
        <x:f>AVERAGE(D40:D43)</x:f>
        <x:v>2718</x:v>
      </x:c>
    </x:row>
    <x:row r="44">
      <x:c r="A44" s="14" t="n">
        <x:v>45565</x:v>
      </x:c>
      <x:c r="B44" s="11" t="n">
        <x:v>2024</x:v>
      </x:c>
      <x:c r="C44" s="11" t="str">
        <x:v>Q3</x:v>
      </x:c>
      <x:c r="D44" s="16" t="n">
        <x:v>2829</x:v>
      </x:c>
      <x:c r="E44" s="16" t="n">
        <x:v>103</x:v>
      </x:c>
      <x:c r="F44" s="16" t="n">
        <x:v>0.75</x:v>
      </x:c>
      <x:c r="G44" s="16" t="n">
        <x:v>7925</x:v>
      </x:c>
      <x:c r="H44" s="16" t="n">
        <x:v>1378</x:v>
      </x:c>
      <x:c r="I44" s="11" t="str">
        <x:v>CAD millions</x:v>
      </x:c>
      <x:c r="J44" s="11" t="str">
        <x:v>https://www.finning.com/content/dam/finning/Shared/ir-events-attachments/2024-annual-combined-report.pdf</x:v>
      </x:c>
      <x:c r="K44" s="18" t="n">
        <x:f>IFERROR(D44/D43-1,"")</x:f>
        <x:v>-0.03116438356164386</x:v>
      </x:c>
      <x:c r="L44" s="18" t="n">
        <x:f>IFERROR(D44/D40-1,"")</x:f>
        <x:v>0.046227810650887546</x:v>
      </x:c>
      <x:c r="M44" s="18" t="n">
        <x:f>IFERROR(E44/E40-1,"")</x:f>
        <x:v>-0.33974358974358976</x:v>
      </x:c>
      <x:c r="N44" s="20" t="n">
        <x:f>AVERAGE(D41:D44)</x:f>
        <x:v>2749.25</x:v>
      </x:c>
    </x:row>
    <x:row r="45">
      <x:c r="A45" s="14" t="n">
        <x:v>45657</x:v>
      </x:c>
      <x:c r="B45" s="11" t="n">
        <x:v>2024</x:v>
      </x:c>
      <x:c r="C45" s="11" t="str">
        <x:v>Q4</x:v>
      </x:c>
      <x:c r="D45" s="16" t="n">
        <x:v>2873</x:v>
      </x:c>
      <x:c r="E45" s="16" t="n">
        <x:v>141</x:v>
      </x:c>
      <x:c r="F45" s="16" t="n">
        <x:v>1.02</x:v>
      </x:c>
      <x:c r="G45" s="16" t="n">
        <x:v>7731</x:v>
      </x:c>
      <x:c r="H45" s="16" t="n">
        <x:v>1396</x:v>
      </x:c>
      <x:c r="I45" s="11" t="str">
        <x:v>CAD millions</x:v>
      </x:c>
      <x:c r="J45" s="11" t="str">
        <x:v>https://www.finning.com/content/dam/finning/Shared/ir-events-attachments/2024-annual-combined-report.pdf</x:v>
      </x:c>
      <x:c r="K45" s="18" t="n">
        <x:f>IFERROR(D45/D44-1,"")</x:f>
        <x:v>0.015553199010250873</x:v>
      </x:c>
      <x:c r="L45" s="18" t="n">
        <x:f>IFERROR(D45/D41-1,"")</x:f>
        <x:v>0.07845345345345356</x:v>
      </x:c>
      <x:c r="M45" s="18" t="n">
        <x:f>IFERROR(E45/E41-1,"")</x:f>
        <x:v>0.6588235294117648</x:v>
      </x:c>
      <x:c r="N45" s="20" t="n">
        <x:f>AVERAGE(D42:D45)</x:f>
        <x:v>2801.5</x:v>
      </x:c>
    </x:row>
    <x:row r="46">
      <x:c r="A46" s="14" t="n">
        <x:v>45747</x:v>
      </x:c>
      <x:c r="B46" s="11" t="n">
        <x:v>2025</x:v>
      </x:c>
      <x:c r="C46" s="11" t="str">
        <x:v>Q1</x:v>
      </x:c>
      <x:c r="D46" s="16" t="n">
        <x:v>2450</x:v>
      </x:c>
      <x:c r="E46" s="16" t="n">
        <x:v>128</x:v>
      </x:c>
      <x:c r="F46" s="16" t="n">
        <x:v>0.95</x:v>
      </x:c>
      <x:c r="G46" s="16"/>
      <x:c r="H46" s="16"/>
      <x:c r="I46" s="11" t="str">
        <x:v>CAD millions</x:v>
      </x:c>
      <x:c r="J46" s="11" t="str">
        <x:v>https://www.finning.com/content/dam/finning/Global/Documents/corporate-governance-policies/2025%20Annual%20financial%20report.pdf</x:v>
      </x:c>
      <x:c r="K46" s="18" t="n">
        <x:f>IFERROR(D46/D45-1,"")</x:f>
        <x:v>-0.14723285764009741</x:v>
      </x:c>
      <x:c r="L46" s="18" t="n">
        <x:f>IFERROR(D46/D42-1,"")</x:f>
        <x:v>-0.05185758513931893</x:v>
      </x:c>
      <x:c r="M46" s="18" t="n">
        <x:f>IFERROR(E46/E42-1,"")</x:f>
        <x:v>0.05785123966942152</x:v>
      </x:c>
      <x:c r="N46" s="20" t="n">
        <x:f>AVERAGE(D43:D46)</x:f>
        <x:v>2768</x:v>
      </x:c>
    </x:row>
    <x:row r="47">
      <x:c r="A47" s="14" t="n">
        <x:v>45838</x:v>
      </x:c>
      <x:c r="B47" s="11" t="n">
        <x:v>2025</x:v>
      </x:c>
      <x:c r="C47" s="11" t="str">
        <x:v>Q2</x:v>
      </x:c>
      <x:c r="D47" s="16" t="n">
        <x:v>2609</x:v>
      </x:c>
      <x:c r="E47" s="16" t="n">
        <x:v>126</x:v>
      </x:c>
      <x:c r="F47" s="16" t="n">
        <x:v>0.94</x:v>
      </x:c>
      <x:c r="G47" s="16"/>
      <x:c r="H47" s="16"/>
      <x:c r="I47" s="11" t="str">
        <x:v>CAD millions</x:v>
      </x:c>
      <x:c r="J47" s="11" t="str">
        <x:v>https://www.finning.com/content/dam/finning/Global/Documents/corporate-governance-policies/2025%20Annual%20financial%20report.pdf</x:v>
      </x:c>
      <x:c r="K47" s="18" t="n">
        <x:f>IFERROR(D47/D46-1,"")</x:f>
        <x:v>0.06489795918367336</x:v>
      </x:c>
      <x:c r="L47" s="18" t="n">
        <x:f>IFERROR(D47/D43-1,"")</x:f>
        <x:v>-0.10650684931506849</x:v>
      </x:c>
      <x:c r="M47" s="18" t="n">
        <x:f>IFERROR(E47/E43-1,"")</x:f>
        <x:v>-0.125</x:v>
      </x:c>
      <x:c r="N47" s="20" t="n">
        <x:f>AVERAGE(D44:D47)</x:f>
        <x:v>2690.25</x:v>
      </x:c>
    </x:row>
    <x:row r="48">
      <x:c r="A48" s="14" t="n">
        <x:v>45930</x:v>
      </x:c>
      <x:c r="B48" s="11" t="n">
        <x:v>2025</x:v>
      </x:c>
      <x:c r="C48" s="11" t="str">
        <x:v>Q3</x:v>
      </x:c>
      <x:c r="D48" s="16" t="n">
        <x:v>2842</x:v>
      </x:c>
      <x:c r="E48" s="16" t="n">
        <x:v>154</x:v>
      </x:c>
      <x:c r="F48" s="16" t="n">
        <x:v>1.17</x:v>
      </x:c>
      <x:c r="G48" s="16"/>
      <x:c r="H48" s="16"/>
      <x:c r="I48" s="11" t="str">
        <x:v>CAD millions</x:v>
      </x:c>
      <x:c r="J48" s="11" t="str">
        <x:v>https://www.finning.com/content/dam/finning/Global/Documents/corporate-governance-policies/2025%20Annual%20financial%20report.pdf</x:v>
      </x:c>
      <x:c r="K48" s="18" t="n">
        <x:f>IFERROR(D48/D47-1,"")</x:f>
        <x:v>0.08930624760444617</x:v>
      </x:c>
      <x:c r="L48" s="18" t="n">
        <x:f>IFERROR(D48/D44-1,"")</x:f>
        <x:v>0.004595263343937894</x:v>
      </x:c>
      <x:c r="M48" s="18" t="n">
        <x:f>IFERROR(E48/E44-1,"")</x:f>
        <x:v>0.49514563106796117</x:v>
      </x:c>
      <x:c r="N48" s="20" t="n">
        <x:f>AVERAGE(D45:D48)</x:f>
        <x:v>2693.5</x:v>
      </x:c>
    </x:row>
    <x:row r="49">
      <x:c r="A49" s="14" t="n">
        <x:v>46022</x:v>
      </x:c>
      <x:c r="B49" s="11" t="n">
        <x:v>2025</x:v>
      </x:c>
      <x:c r="C49" s="11" t="str">
        <x:v>Q4</x:v>
      </x:c>
      <x:c r="D49" s="16" t="n">
        <x:v>2690</x:v>
      </x:c>
      <x:c r="E49" s="16" t="n">
        <x:v>115</x:v>
      </x:c>
      <x:c r="F49" s="16" t="n">
        <x:v>0.88</x:v>
      </x:c>
      <x:c r="G49" s="16"/>
      <x:c r="H49" s="16"/>
      <x:c r="I49" s="11" t="str">
        <x:v>CAD millions</x:v>
      </x:c>
      <x:c r="J49" s="11" t="str">
        <x:v>https://www.finning.com/content/dam/finning/Global/Documents/corporate-governance-policies/2025%20Annual%20financial%20report.pdf</x:v>
      </x:c>
      <x:c r="K49" s="18" t="n">
        <x:f>IFERROR(D49/D48-1,"")</x:f>
        <x:v>-0.05348346235045742</x:v>
      </x:c>
      <x:c r="L49" s="18" t="n">
        <x:f>IFERROR(D49/D45-1,"")</x:f>
        <x:v>-0.0636964845109641</x:v>
      </x:c>
      <x:c r="M49" s="18" t="n">
        <x:f>IFERROR(E49/E45-1,"")</x:f>
        <x:v>-0.18439716312056742</x:v>
      </x:c>
      <x:c r="N49" s="20" t="n">
        <x:f>AVERAGE(D46:D49)</x:f>
        <x:v>2647.75</x:v>
      </x:c>
    </x:row>
  </x:sheetData>
  <x:pageMargins left="0.7" right="0.7" top="0.75" bottom="0.75" header="0.3" footer="0.3"/>
  <x:tableParts count="1">
    <x:tablePart xmlns:r="http://schemas.openxmlformats.org/officeDocument/2006/relationships" r:id="R0057fc86952c46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2" t="str">
        <x:v>FINNING INTERNATIONAL — DATASET TRIMESTRAL REAL</x:v>
      </x:c>
      <x:c r="B1" s="22" t="str"/>
    </x:row>
    <x:row r="2">
      <x:c r="A2" s="23" t="str">
        <x:v>Cobertura</x:v>
      </x:c>
      <x:c r="B2" s="23" t="str">
        <x:v>2014 Q1 a 2025 Q4 (48 trimestres)</x:v>
      </x:c>
    </x:row>
    <x:row r="3">
      <x:c r="A3" s="23" t="str">
        <x:v>Frecuencia</x:v>
      </x:c>
      <x:c r="B3" s="23" t="str">
        <x:v>Trimestral</x:v>
      </x:c>
    </x:row>
    <x:row r="4">
      <x:c r="A4" s="23" t="str">
        <x:v>Moneda</x:v>
      </x:c>
      <x:c r="B4" s="23" t="str">
        <x:v>CAD; montos financieros en millones salvo EPS</x:v>
      </x:c>
    </x:row>
    <x:row r="5">
      <x:c r="A5" s="23" t="str">
        <x:v>Fuente primaria</x:v>
      </x:c>
      <x:c r="B5" s="23" t="str">
        <x:v>Finning International Inc. — reportes financieros oficiales</x:v>
      </x:c>
    </x:row>
    <x:row r="6">
      <x:c r="A6" s="23" t="str">
        <x:v>Uso previsto</x:v>
      </x:c>
      <x:c r="B6" s="23" t="str">
        <x:v>Proyecto Machine Learning: identificación/predicción del estado del ciclo operativo</x:v>
      </x:c>
    </x:row>
    <x:row r="7">
      <x:c r="A7" s="23" t="str">
        <x:v>Nota 2018</x:v>
      </x:c>
      <x:c r="B7" s="23" t="str">
        <x:v>Los comparativos 2017 fueron restatados por IFRS 15/IFRS 9; se conservan los valores publicados en cada reporte fuente.</x:v>
      </x:c>
    </x:row>
    <x:row r="8">
      <x:c r="A8" s="23" t="str">
        <x:v>Nota 2019</x:v>
      </x:c>
      <x:c r="B8" s="23" t="str">
        <x:v>Revenue/Net income/EPS se recopilaron desde los cuatro earnings releases trimestrales oficiales.</x:v>
      </x:c>
    </x:row>
    <x:row r="9">
      <x:c r="A9" s="23" t="str">
        <x:v>Nota 2025</x:v>
      </x:c>
      <x:c r="B9" s="23" t="str">
        <x:v>Revenue, net income y EPS corresponden a continuing operations/restated basis del reporte 2025; activos y deuda trimestral no se cargaron para evitar mezclar bases no comparables.</x:v>
      </x:c>
    </x:row>
    <x:row r="10">
      <x:c r="A10" s="23" t="str">
        <x:v>Advertencia ML</x:v>
      </x:c>
      <x:c r="B10" s="23" t="str">
        <x:v>No usar splits aleatorios. Features, scaler, imputación y tuning deben ajustarse únicamente con datos pasados dentro de cada fold walk-forward.</x:v>
      </x:c>
    </x:row>
    <x:row r="11">
      <x:c r="A11" s="23" t="str">
        <x:v>Variables derivadas</x:v>
      </x:c>
      <x:c r="B11" s="23" t="str">
        <x:v>Revenue_QoQ, Revenue_YoY, NetIncome_YoY y Revenue_MA4 se calculan con fórmulas dentro del Excel.</x:v>
      </x:c>
    </x:row>
    <x:row r="12">
      <x:c r="A12" s="23" t="str">
        <x:v>Fuente índice</x:v>
      </x:c>
      <x:c r="B12" s="23" t="str">
        <x:v>https://www.finning.com/es_CL/company/investors/financial-reports.html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0" hidden="0" customWidth="1"/>
  </x:cols>
  <x:sheetData>
    <x:row r="1">
      <x:c r="A1" s="22" t="str">
        <x:v>Period</x:v>
      </x:c>
      <x:c r="B1" s="22" t="str">
        <x:v>Official source</x:v>
      </x:c>
    </x:row>
    <x:row r="2">
      <x:c r="A2" s="23" t="str">
        <x:v>2014-2015</x:v>
      </x:c>
      <x:c r="B2" s="23" t="str">
        <x:v>https://www.finning.com/content/dam/finning/Global/Documents/financial-reports/2015-Annual-Report.pdf</x:v>
      </x:c>
    </x:row>
    <x:row r="3">
      <x:c r="A3" s="23" t="str">
        <x:v>2016-2017</x:v>
      </x:c>
      <x:c r="B3" s="23" t="str">
        <x:v>https://www.finning.com/content/dam/finning/Global/Documents/financial-reports/2017-Financial-Report.pdf</x:v>
      </x:c>
    </x:row>
    <x:row r="4">
      <x:c r="A4" s="23" t="str">
        <x:v>2018</x:v>
      </x:c>
      <x:c r="B4" s="23" t="str">
        <x:v>https://www.finning.com/content/dam/finning/Global/Documents/financial-reports/2018-Financial-Report.pdf</x:v>
      </x:c>
    </x:row>
    <x:row r="5">
      <x:c r="A5" s="23" t="str">
        <x:v>2019 Q1</x:v>
      </x:c>
      <x:c r="B5" s="23" t="str">
        <x:v>https://www.finning.com/content/dam/finning/Global/Documents/financial-reports/2019-Q1-combined-interim-report.pdf</x:v>
      </x:c>
    </x:row>
    <x:row r="6">
      <x:c r="A6" s="23" t="str">
        <x:v>2019 Q2</x:v>
      </x:c>
      <x:c r="B6" s="23" t="str">
        <x:v>https://www.finning.com/content/dam/finning/Global/Documents/financial-reports/Q2-2019-combined-interim-report.pdf</x:v>
      </x:c>
    </x:row>
    <x:row r="7">
      <x:c r="A7" s="23" t="str">
        <x:v>2019 Q3</x:v>
      </x:c>
      <x:c r="B7" s="23" t="str">
        <x:v>https://www.finning.com/content/dam/finning/Global/Documents/financial-reports/Q3-2019-combined-interim-report.pdf</x:v>
      </x:c>
    </x:row>
    <x:row r="8">
      <x:c r="A8" s="23" t="str">
        <x:v>2019 Q4</x:v>
      </x:c>
      <x:c r="B8" s="23" t="str">
        <x:v>https://www.finning.com/content/dam/finning/Global/Documents/financial-reports/Q4-2019-combined-annual-report_Final.pdf</x:v>
      </x:c>
    </x:row>
    <x:row r="9">
      <x:c r="A9" s="23" t="str">
        <x:v>2020-2021</x:v>
      </x:c>
      <x:c r="B9" s="23" t="str">
        <x:v>https://www.finning.com/content/dam/finning/Shared/ir-events-attachments/2021-Financial-report%20%281%29.pdf</x:v>
      </x:c>
    </x:row>
    <x:row r="10">
      <x:c r="A10" s="23" t="str">
        <x:v>2022-2023</x:v>
      </x:c>
      <x:c r="B10" s="23" t="str">
        <x:v>https://www.finning.com/content/dam/finning/Global/Documents/financial-reports/q4-financial-report-2023.pdf</x:v>
      </x:c>
    </x:row>
    <x:row r="11">
      <x:c r="A11" s="23" t="str">
        <x:v>2024</x:v>
      </x:c>
      <x:c r="B11" s="23" t="str">
        <x:v>https://www.finning.com/content/dam/finning/Shared/ir-events-attachments/2024-annual-combined-report.pdf</x:v>
      </x:c>
    </x:row>
    <x:row r="12">
      <x:c r="A12" s="23" t="str">
        <x:v>2025</x:v>
      </x:c>
      <x:c r="B12" s="23" t="str">
        <x:v>https://www.finning.com/content/dam/finning/Global/Documents/corporate-governance-policies/2025%20Annual%20financial%20report.pdf</x:v>
      </x:c>
    </x:row>
  </x:sheetData>
  <x:pageMargins left="0.7" right="0.7" top="0.75" bottom="0.75" header="0.3" footer="0.3"/>
</x:worksheet>
</file>